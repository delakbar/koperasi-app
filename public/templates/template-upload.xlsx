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<sst xmlns="http://schemas.openxmlformats.org/spreadsheetml/2006/main" count="229" uniqueCount="124">
  <si>
    <t>GOL</t>
  </si>
  <si>
    <t>NO</t>
  </si>
  <si>
    <t>NAMA</t>
  </si>
  <si>
    <t>SIMPANAN POKOK</t>
  </si>
  <si>
    <t>SIMPANAN WAJIB</t>
  </si>
  <si>
    <t>SIMPANAN SUKARELA</t>
  </si>
  <si>
    <t>CICILAN</t>
  </si>
  <si>
    <t>JASA</t>
  </si>
  <si>
    <t>JUMLAH</t>
  </si>
  <si>
    <t>IV</t>
  </si>
  <si>
    <t>Dr. MOH EKA KARTIKA EM, S.H., M.HUM.</t>
  </si>
  <si>
    <t>Dr. WAYAN KARYA, S.H., M.Hum.</t>
  </si>
  <si>
    <t>H BAKTAR JUBRI NASUTION, S.H, M.H.</t>
  </si>
  <si>
    <t>Ucu Jaya Sarjana S, SH.</t>
  </si>
  <si>
    <t>MULA PANGARIBUAN, S.H., M.H.</t>
  </si>
  <si>
    <t>HERMAN HELLER HUTAPEA, S.H.</t>
  </si>
  <si>
    <t>Dr. JONLAR PURBA, S.H., M.H.</t>
  </si>
  <si>
    <t>JESAYAS TARIGAN, S.H., M.Hum.</t>
  </si>
  <si>
    <t>CEPI ISKANDAR, S.H., M.H.</t>
  </si>
  <si>
    <t>HIRAS SIHOMBING, S.H.</t>
  </si>
  <si>
    <t>MUHAMMAD NUR, S.H., M.H.</t>
  </si>
  <si>
    <t>SUKMAYANTI, S.H., M.H.</t>
  </si>
  <si>
    <t>R MATRAS SUPOMO, S.H., M.H.</t>
  </si>
  <si>
    <t>Dr. GUNAWAN, S.H., M.H.</t>
  </si>
  <si>
    <t>PORMAN SITUMORANG, S.H., M.H.</t>
  </si>
  <si>
    <t>ROBERT SIAHAAN, S.H., M.H.</t>
  </si>
  <si>
    <t>SUDARWIN, S.H., M.H.</t>
  </si>
  <si>
    <t>PRANOTO, S.H.</t>
  </si>
  <si>
    <t>Hj. WEDHAYATI, S.H., M.H.</t>
  </si>
  <si>
    <t>POLTAK SITORUS, S.H., M.H.</t>
  </si>
  <si>
    <t>RATNA MINTARSIH, S.H.</t>
  </si>
  <si>
    <t>ASBAN PANJAITAN, S.H., M.H.</t>
  </si>
  <si>
    <t>KEMAL TAMPUBOLON, S.H., M.H.</t>
  </si>
  <si>
    <t>IDA MARION, S.H., M.H.</t>
  </si>
  <si>
    <t>IMAN GULTOM, S.H., M.H.</t>
  </si>
  <si>
    <t>MADE SUTRISNA, S.H., M.Hum.</t>
  </si>
  <si>
    <t>VIKTOR PAKPAHAN, S.H., M.H.MSi.</t>
  </si>
  <si>
    <t>Dr. KASIANUS TELAUMBANUA, S.H., M.H.</t>
  </si>
  <si>
    <t>BARITA SARAGIH, S.H.L.L.M.</t>
  </si>
  <si>
    <t>Yana Hediyana</t>
  </si>
  <si>
    <t>Hj. NENENG WARLINAH, S.H., M.H.</t>
  </si>
  <si>
    <t>HENDRO CATUR SUCAHYO, S.H., M.H.</t>
  </si>
  <si>
    <t>PAHATAR SIMARMATA, S.H., M.Hum.</t>
  </si>
  <si>
    <t>Zaherwan Lesmana, S.H.</t>
  </si>
  <si>
    <t>H. HANDOKO KRISTIYOSO, S.H., M.H.</t>
  </si>
  <si>
    <t>Dr. Hj. Nur Aslam Bustaman, S.H., M.H.</t>
  </si>
  <si>
    <t>SURANTO, S.H.</t>
  </si>
  <si>
    <t>TURSINAH AFTIANTI, S.H., M.H.</t>
  </si>
  <si>
    <t>MULYANTO, S.H., M.H.</t>
  </si>
  <si>
    <t>EDISON MUHAMAD, S.H., M.H.</t>
  </si>
  <si>
    <t>Dr. KRISTWAN GENOVA DAMANIK, S.H., M.HUM.</t>
  </si>
  <si>
    <t>MARISI SIREGAR, S.H., M.H.</t>
  </si>
  <si>
    <t>MOCH MAWARDI, SH MH</t>
  </si>
  <si>
    <t xml:space="preserve"> Hj. JUNILAWATI HARAHAP, S.H., M.H.</t>
  </si>
  <si>
    <t>Dr. NAISYAH KADIR, S.H., M.H.</t>
  </si>
  <si>
    <t>SAIFUL ASNURI, S.H.</t>
  </si>
  <si>
    <t>Hj. LILIK SRIHARTATI, S.H., M.H.</t>
  </si>
  <si>
    <t>Tri Mulyani, S.H., M.H.</t>
  </si>
  <si>
    <t>Sri Yuditiani, S.H.</t>
  </si>
  <si>
    <t>Rosmalinda, S.H., M.H.</t>
  </si>
  <si>
    <t>Erna Rosmawati, S.H., M. H.</t>
  </si>
  <si>
    <t>Bambang Sugianto</t>
  </si>
  <si>
    <t>ENDANG SUMARNO, S.H.</t>
  </si>
  <si>
    <t xml:space="preserve">	KRISNA SOFIADI, S.H</t>
  </si>
  <si>
    <t>ERNIWATI, S.H., M.H.</t>
  </si>
  <si>
    <t>Hermansyah</t>
  </si>
  <si>
    <t>Bambang Belardaya</t>
  </si>
  <si>
    <t>SUGIHARTO, S.H., M.H.</t>
  </si>
  <si>
    <t>ARLISA YUNITA NELYANA</t>
  </si>
  <si>
    <t>Nurdiana, SH</t>
  </si>
  <si>
    <t>Khairul Fasja, SH</t>
  </si>
  <si>
    <t>JAFRI, S.H., M.H.</t>
  </si>
  <si>
    <t>Hendayani, SH</t>
  </si>
  <si>
    <t>GATOT HADI PURWONO, S.H., M.H.</t>
  </si>
  <si>
    <t>RIDWAN NURDIN, S.H.</t>
  </si>
  <si>
    <t>YETI NINGSIH, S.H., M.H.</t>
  </si>
  <si>
    <t>ENANG SUPARMAN, S.H., M.H.</t>
  </si>
  <si>
    <t>SUSILO NANDANG BAGIO, S.H., M.H.</t>
  </si>
  <si>
    <t>NINA YAYU MAESAROH, S.H., M.H.</t>
  </si>
  <si>
    <t>III</t>
  </si>
  <si>
    <t>SRI SUBEKTI TRIANA, S.H.</t>
  </si>
  <si>
    <t>JONO YULIANTO, S.H.</t>
  </si>
  <si>
    <t>YANI SOFYAN, S.H.</t>
  </si>
  <si>
    <t>Dani Adhia Wardana</t>
  </si>
  <si>
    <t>Ummi Hani, S.Sos</t>
  </si>
  <si>
    <t xml:space="preserve">Ary Faridah, </t>
  </si>
  <si>
    <t>Sri Suratno Wibowo</t>
  </si>
  <si>
    <t>Anton Senjaya, S.</t>
  </si>
  <si>
    <t>Aljunalliadi, SE</t>
  </si>
  <si>
    <t>Elna Helniarika, S.Kom</t>
  </si>
  <si>
    <t>Lies Hendrawani</t>
  </si>
  <si>
    <t>Apriyani Adi Utami</t>
  </si>
  <si>
    <t>Lisna Indrawati</t>
  </si>
  <si>
    <t>Sidik Nugraha</t>
  </si>
  <si>
    <t>Fitri Kristianti, S.E., Ak.</t>
  </si>
  <si>
    <t>Nurhafina N</t>
  </si>
  <si>
    <t>Nurul Yulia</t>
  </si>
  <si>
    <t>Andrie Maeri</t>
  </si>
  <si>
    <t>Tia Adistian Pasha, S.T.</t>
  </si>
  <si>
    <t>Hera Caprina, S.I.Kom.</t>
  </si>
  <si>
    <t>NISA WANGSITA, S.Psi.</t>
  </si>
  <si>
    <t>YOGI ISKANDAR PAMUNGKAS PUTRA, S.H.</t>
  </si>
  <si>
    <t>MARTINA MAGDALENA BARASA, S.T.</t>
  </si>
  <si>
    <t>YUNI CLARA, S.H.</t>
  </si>
  <si>
    <t>ZENI PUTERI SIMANGUNSONG, S.Ak.</t>
  </si>
  <si>
    <t>DEVIRA WIENA PRAMINTYA, S.Kom.</t>
  </si>
  <si>
    <t>II</t>
  </si>
  <si>
    <t>INDRA RIZKY FIRMANSYAH, A.Md.T.</t>
  </si>
  <si>
    <t>Saepuloh</t>
  </si>
  <si>
    <t>RESTI APRILIA, A.Md.</t>
  </si>
  <si>
    <t xml:space="preserve"> AYU PERMATA SARI.,A.Md</t>
  </si>
  <si>
    <t>SRI ANGELA SIALLAGAN, A.Md.</t>
  </si>
  <si>
    <t>FERGIE NOVITA WASSAHDAD, A.Md.Ak.</t>
  </si>
  <si>
    <t>HANI NUR AINI, A.Md.</t>
  </si>
  <si>
    <t>IX</t>
  </si>
  <si>
    <t>BUDYAWAN HERIJANTO, S.E.</t>
  </si>
  <si>
    <t>HERU BUDIYANTO, S.IP.</t>
  </si>
  <si>
    <t>FITRIA NURFAUZIAH, S.E.</t>
  </si>
  <si>
    <t>VII</t>
  </si>
  <si>
    <t>RIA IRAWATI PUSPITASARI, A.Md.</t>
  </si>
  <si>
    <t>LUKMAN ILMAN NURHAKIM, S.H.</t>
  </si>
  <si>
    <t>ANNISA AYU LESTARI, S.H.</t>
  </si>
  <si>
    <t>OLIVIA WAHYU KUSUMANINGTYAS, S.H.</t>
  </si>
  <si>
    <t>PUPUT WULANSARI, A.Md.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</si>
</sst>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0"/>
      <name val="Arial"/>
      <charset val="0"/>
    </font>
    <font>
      <sz val="10"/>
      <name val="Arial"/>
      <charset val="0"/>
    </font>
    <font>
      <sz val="10"/>
      <color rgb="FF333333"/>
      <name val="Arial"/>
      <charset val="0"/>
    </font>
    <font>
      <sz val="10"/>
      <color rgb="FFFF0000"/>
      <name val="Arial"/>
      <charset val="0"/>
    </font>
    <font>
      <u/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6" applyNumberFormat="0" applyAlignment="0" applyProtection="0">
      <alignment vertical="center"/>
    </xf>
    <xf numFmtId="0" fontId="15" fillId="7" borderId="37" applyNumberFormat="0" applyAlignment="0" applyProtection="0">
      <alignment vertical="center"/>
    </xf>
    <xf numFmtId="0" fontId="16" fillId="7" borderId="36" applyNumberFormat="0" applyAlignment="0" applyProtection="0">
      <alignment vertical="center"/>
    </xf>
    <xf numFmtId="0" fontId="17" fillId="8" borderId="38" applyNumberFormat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left" vertical="center"/>
    </xf>
    <xf numFmtId="0" fontId="1" fillId="0" borderId="3" xfId="49" applyFont="1" applyFill="1" applyBorder="1" applyAlignment="1">
      <alignment horizontal="center" vertical="center"/>
    </xf>
    <xf numFmtId="0" fontId="1" fillId="0" borderId="4" xfId="49" applyFont="1" applyFill="1" applyBorder="1" applyAlignment="1">
      <alignment horizontal="center" vertical="center"/>
    </xf>
    <xf numFmtId="0" fontId="1" fillId="0" borderId="5" xfId="49" applyNumberFormat="1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 vertical="center"/>
    </xf>
    <xf numFmtId="0" fontId="2" fillId="0" borderId="7" xfId="49" applyFont="1" applyFill="1" applyBorder="1" applyAlignment="1">
      <alignment horizontal="center" vertical="center"/>
    </xf>
    <xf numFmtId="0" fontId="2" fillId="0" borderId="7" xfId="49" applyFont="1" applyFill="1" applyBorder="1" applyAlignment="1">
      <alignment horizontal="left" vertical="center"/>
    </xf>
    <xf numFmtId="0" fontId="1" fillId="0" borderId="8" xfId="49" applyFont="1" applyFill="1" applyBorder="1" applyAlignment="1">
      <alignment horizontal="center" vertical="center"/>
    </xf>
    <xf numFmtId="0" fontId="1" fillId="0" borderId="9" xfId="49" applyFont="1" applyFill="1" applyBorder="1" applyAlignment="1">
      <alignment horizontal="center" vertical="center"/>
    </xf>
    <xf numFmtId="0" fontId="1" fillId="0" borderId="10" xfId="49" applyNumberFormat="1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left" vertical="center"/>
    </xf>
    <xf numFmtId="0" fontId="1" fillId="0" borderId="13" xfId="49" applyFont="1" applyFill="1" applyBorder="1" applyAlignment="1">
      <alignment horizontal="center" vertical="center"/>
    </xf>
    <xf numFmtId="0" fontId="1" fillId="0" borderId="13" xfId="49" applyFont="1" applyFill="1" applyBorder="1" applyAlignment="1">
      <alignment horizontal="center"/>
    </xf>
    <xf numFmtId="0" fontId="1" fillId="0" borderId="14" xfId="49" applyNumberFormat="1" applyFont="1" applyFill="1" applyBorder="1" applyAlignment="1">
      <alignment horizontal="center" vertical="center"/>
    </xf>
    <xf numFmtId="0" fontId="2" fillId="2" borderId="15" xfId="49" applyFont="1" applyFill="1" applyBorder="1" applyAlignment="1">
      <alignment horizontal="center"/>
    </xf>
    <xf numFmtId="0" fontId="2" fillId="2" borderId="7" xfId="49" applyFont="1" applyFill="1" applyBorder="1" applyAlignment="1">
      <alignment horizontal="center"/>
    </xf>
    <xf numFmtId="0" fontId="2" fillId="2" borderId="7" xfId="49" applyFont="1" applyFill="1" applyBorder="1" applyAlignment="1">
      <alignment horizontal="left"/>
    </xf>
    <xf numFmtId="178" fontId="2" fillId="2" borderId="7" xfId="50" applyNumberFormat="1" applyFont="1" applyFill="1" applyBorder="1"/>
    <xf numFmtId="178" fontId="2" fillId="2" borderId="8" xfId="50" applyNumberFormat="1" applyFont="1" applyFill="1" applyBorder="1"/>
    <xf numFmtId="41" fontId="2" fillId="2" borderId="8" xfId="50" applyNumberFormat="1" applyFont="1" applyFill="1" applyBorder="1"/>
    <xf numFmtId="178" fontId="2" fillId="2" borderId="7" xfId="51" applyNumberFormat="1" applyFont="1" applyFill="1" applyBorder="1"/>
    <xf numFmtId="41" fontId="2" fillId="2" borderId="7" xfId="50" applyNumberFormat="1" applyFont="1" applyFill="1" applyBorder="1" applyAlignment="1">
      <alignment horizontal="right"/>
    </xf>
    <xf numFmtId="178" fontId="2" fillId="2" borderId="8" xfId="51" applyNumberFormat="1" applyFont="1" applyFill="1" applyBorder="1"/>
    <xf numFmtId="0" fontId="2" fillId="2" borderId="0" xfId="49" applyFont="1" applyFill="1" applyAlignment="1">
      <alignment horizontal="left"/>
    </xf>
    <xf numFmtId="0" fontId="2" fillId="2" borderId="6" xfId="49" applyFont="1" applyFill="1" applyBorder="1" applyAlignment="1">
      <alignment horizontal="center"/>
    </xf>
    <xf numFmtId="41" fontId="2" fillId="2" borderId="7" xfId="49" applyNumberFormat="1" applyFont="1" applyFill="1" applyBorder="1"/>
    <xf numFmtId="0" fontId="2" fillId="2" borderId="9" xfId="49" applyFont="1" applyFill="1" applyBorder="1" applyAlignment="1">
      <alignment horizontal="left"/>
    </xf>
    <xf numFmtId="41" fontId="2" fillId="2" borderId="7" xfId="51" applyNumberFormat="1" applyFont="1" applyFill="1" applyBorder="1"/>
    <xf numFmtId="0" fontId="3" fillId="2" borderId="0" xfId="0" applyFont="1" applyFill="1" applyBorder="1" applyAlignment="1">
      <alignment horizontal="left"/>
    </xf>
    <xf numFmtId="0" fontId="2" fillId="2" borderId="0" xfId="49" applyFont="1" applyFill="1" applyBorder="1" applyAlignment="1">
      <alignment horizontal="left"/>
    </xf>
    <xf numFmtId="41" fontId="2" fillId="2" borderId="7" xfId="51" applyFont="1" applyFill="1" applyBorder="1"/>
    <xf numFmtId="0" fontId="2" fillId="2" borderId="8" xfId="49" applyFont="1" applyFill="1" applyBorder="1" applyAlignment="1">
      <alignment horizontal="left"/>
    </xf>
    <xf numFmtId="0" fontId="2" fillId="2" borderId="16" xfId="49" applyFont="1" applyFill="1" applyBorder="1" applyAlignment="1">
      <alignment horizontal="left"/>
    </xf>
    <xf numFmtId="178" fontId="2" fillId="2" borderId="16" xfId="50" applyNumberFormat="1" applyFont="1" applyFill="1" applyBorder="1"/>
    <xf numFmtId="41" fontId="2" fillId="2" borderId="16" xfId="51" applyNumberFormat="1" applyFont="1" applyFill="1" applyBorder="1"/>
    <xf numFmtId="41" fontId="2" fillId="2" borderId="16" xfId="51" applyFont="1" applyFill="1" applyBorder="1"/>
    <xf numFmtId="41" fontId="2" fillId="2" borderId="16" xfId="50" applyNumberFormat="1" applyFont="1" applyFill="1" applyBorder="1" applyAlignment="1">
      <alignment horizontal="right"/>
    </xf>
    <xf numFmtId="0" fontId="2" fillId="2" borderId="17" xfId="49" applyFont="1" applyFill="1" applyBorder="1" applyAlignment="1">
      <alignment horizontal="left"/>
    </xf>
    <xf numFmtId="41" fontId="4" fillId="2" borderId="7" xfId="50" applyNumberFormat="1" applyFont="1" applyFill="1" applyBorder="1" applyAlignment="1">
      <alignment horizontal="right"/>
    </xf>
    <xf numFmtId="0" fontId="2" fillId="2" borderId="18" xfId="49" applyFont="1" applyFill="1" applyBorder="1" applyAlignment="1">
      <alignment horizontal="left"/>
    </xf>
    <xf numFmtId="0" fontId="2" fillId="3" borderId="6" xfId="49" applyFont="1" applyFill="1" applyBorder="1" applyAlignment="1">
      <alignment horizontal="center"/>
    </xf>
    <xf numFmtId="0" fontId="2" fillId="3" borderId="19" xfId="49" applyFont="1" applyFill="1" applyBorder="1" applyAlignment="1">
      <alignment horizontal="left"/>
    </xf>
    <xf numFmtId="178" fontId="2" fillId="3" borderId="20" xfId="50" applyNumberFormat="1" applyFont="1" applyFill="1" applyBorder="1"/>
    <xf numFmtId="41" fontId="2" fillId="3" borderId="16" xfId="49" applyNumberFormat="1" applyFont="1" applyFill="1" applyBorder="1"/>
    <xf numFmtId="41" fontId="2" fillId="3" borderId="7" xfId="51" applyNumberFormat="1" applyFont="1" applyFill="1" applyBorder="1"/>
    <xf numFmtId="41" fontId="2" fillId="3" borderId="7" xfId="51" applyFont="1" applyFill="1" applyBorder="1"/>
    <xf numFmtId="41" fontId="4" fillId="3" borderId="7" xfId="50" applyNumberFormat="1" applyFont="1" applyFill="1" applyBorder="1" applyAlignment="1">
      <alignment horizontal="right"/>
    </xf>
    <xf numFmtId="41" fontId="2" fillId="2" borderId="9" xfId="50" applyNumberFormat="1" applyFont="1" applyFill="1" applyBorder="1" applyAlignment="1">
      <alignment horizontal="right"/>
    </xf>
    <xf numFmtId="0" fontId="1" fillId="0" borderId="21" xfId="49" applyNumberFormat="1" applyFont="1" applyFill="1" applyBorder="1" applyAlignment="1">
      <alignment horizontal="center" vertical="center"/>
    </xf>
    <xf numFmtId="0" fontId="1" fillId="0" borderId="22" xfId="49" applyNumberFormat="1" applyFont="1" applyFill="1" applyBorder="1" applyAlignment="1">
      <alignment horizontal="center" vertical="center"/>
    </xf>
    <xf numFmtId="0" fontId="1" fillId="0" borderId="23" xfId="49" applyNumberFormat="1" applyFont="1" applyFill="1" applyBorder="1" applyAlignment="1">
      <alignment horizontal="center" vertical="center"/>
    </xf>
    <xf numFmtId="41" fontId="2" fillId="2" borderId="24" xfId="50" applyNumberFormat="1" applyFont="1" applyFill="1" applyBorder="1"/>
    <xf numFmtId="41" fontId="2" fillId="2" borderId="25" xfId="50" applyNumberFormat="1" applyFont="1" applyFill="1" applyBorder="1"/>
    <xf numFmtId="41" fontId="2" fillId="2" borderId="17" xfId="49" applyNumberFormat="1" applyFont="1" applyFill="1" applyBorder="1"/>
    <xf numFmtId="41" fontId="2" fillId="2" borderId="26" xfId="50" applyNumberFormat="1" applyFont="1" applyFill="1" applyBorder="1"/>
    <xf numFmtId="41" fontId="2" fillId="2" borderId="7" xfId="50" applyNumberFormat="1" applyFont="1" applyFill="1" applyBorder="1"/>
    <xf numFmtId="41" fontId="2" fillId="2" borderId="10" xfId="49" applyNumberFormat="1" applyFont="1" applyFill="1" applyBorder="1"/>
    <xf numFmtId="41" fontId="2" fillId="3" borderId="24" xfId="50" applyNumberFormat="1" applyFont="1" applyFill="1" applyBorder="1"/>
    <xf numFmtId="0" fontId="2" fillId="2" borderId="7" xfId="49" applyFont="1" applyFill="1" applyBorder="1" applyAlignment="1">
      <alignment horizontal="center" vertical="center"/>
    </xf>
    <xf numFmtId="0" fontId="2" fillId="2" borderId="7" xfId="49" applyFont="1" applyFill="1" applyBorder="1" applyAlignment="1">
      <alignment horizontal="left" vertical="center"/>
    </xf>
    <xf numFmtId="0" fontId="2" fillId="4" borderId="27" xfId="49" applyFont="1" applyFill="1" applyBorder="1" applyAlignment="1">
      <alignment horizontal="center"/>
    </xf>
    <xf numFmtId="0" fontId="2" fillId="4" borderId="28" xfId="49" applyFont="1" applyFill="1" applyBorder="1" applyAlignment="1">
      <alignment horizontal="left"/>
    </xf>
    <xf numFmtId="178" fontId="2" fillId="4" borderId="8" xfId="50" applyNumberFormat="1" applyFont="1" applyFill="1" applyBorder="1"/>
    <xf numFmtId="41" fontId="2" fillId="4" borderId="7" xfId="49" applyNumberFormat="1" applyFont="1" applyFill="1" applyBorder="1"/>
    <xf numFmtId="41" fontId="2" fillId="4" borderId="8" xfId="51" applyNumberFormat="1" applyFont="1" applyFill="1" applyBorder="1"/>
    <xf numFmtId="41" fontId="2" fillId="2" borderId="9" xfId="49" applyNumberFormat="1" applyFont="1" applyFill="1" applyBorder="1" applyAlignment="1">
      <alignment horizontal="right"/>
    </xf>
    <xf numFmtId="0" fontId="2" fillId="2" borderId="28" xfId="49" applyFont="1" applyFill="1" applyBorder="1" applyAlignment="1">
      <alignment horizontal="left" vertical="center"/>
    </xf>
    <xf numFmtId="41" fontId="2" fillId="2" borderId="7" xfId="49" applyNumberFormat="1" applyFont="1" applyFill="1" applyBorder="1" applyAlignment="1">
      <alignment horizontal="center" vertical="center"/>
    </xf>
    <xf numFmtId="0" fontId="2" fillId="4" borderId="6" xfId="49" applyFont="1" applyFill="1" applyBorder="1" applyAlignment="1">
      <alignment horizontal="center"/>
    </xf>
    <xf numFmtId="0" fontId="2" fillId="4" borderId="18" xfId="49" applyFont="1" applyFill="1" applyBorder="1" applyAlignment="1">
      <alignment horizontal="left"/>
    </xf>
    <xf numFmtId="41" fontId="2" fillId="4" borderId="7" xfId="51" applyFont="1" applyFill="1" applyBorder="1"/>
    <xf numFmtId="41" fontId="2" fillId="2" borderId="9" xfId="51" applyNumberFormat="1" applyFont="1" applyFill="1" applyBorder="1"/>
    <xf numFmtId="0" fontId="2" fillId="2" borderId="19" xfId="49" applyFont="1" applyFill="1" applyBorder="1" applyAlignment="1">
      <alignment horizontal="left"/>
    </xf>
    <xf numFmtId="41" fontId="2" fillId="2" borderId="29" xfId="51" applyNumberFormat="1" applyFont="1" applyFill="1" applyBorder="1"/>
    <xf numFmtId="0" fontId="2" fillId="2" borderId="27" xfId="49" applyFont="1" applyFill="1" applyBorder="1" applyAlignment="1">
      <alignment horizontal="center"/>
    </xf>
    <xf numFmtId="0" fontId="5" fillId="2" borderId="6" xfId="49" applyFont="1" applyFill="1" applyBorder="1" applyAlignment="1">
      <alignment horizontal="center"/>
    </xf>
    <xf numFmtId="41" fontId="2" fillId="2" borderId="9" xfId="50" applyNumberFormat="1" applyFont="1" applyFill="1" applyBorder="1"/>
    <xf numFmtId="0" fontId="2" fillId="2" borderId="30" xfId="49" applyFont="1" applyFill="1" applyBorder="1" applyAlignment="1">
      <alignment horizontal="center"/>
    </xf>
    <xf numFmtId="0" fontId="2" fillId="2" borderId="13" xfId="49" applyFont="1" applyFill="1" applyBorder="1" applyAlignment="1">
      <alignment horizontal="center"/>
    </xf>
    <xf numFmtId="0" fontId="2" fillId="2" borderId="13" xfId="49" applyFont="1" applyFill="1" applyBorder="1" applyAlignment="1">
      <alignment horizontal="left"/>
    </xf>
    <xf numFmtId="41" fontId="2" fillId="4" borderId="31" xfId="49" applyNumberFormat="1" applyFont="1" applyFill="1" applyBorder="1"/>
    <xf numFmtId="41" fontId="2" fillId="4" borderId="10" xfId="49" applyNumberFormat="1" applyFont="1" applyFill="1" applyBorder="1"/>
    <xf numFmtId="41" fontId="2" fillId="2" borderId="32" xfId="49" applyNumberFormat="1" applyFon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POT_Jan_2014" xfId="49"/>
    <cellStyle name="Comma 3" xfId="50"/>
    <cellStyle name="Comma [0]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tabSelected="1" workbookViewId="0">
      <selection activeCell="N20" sqref="N20"/>
    </sheetView>
  </sheetViews>
  <sheetFormatPr defaultColWidth="8.88888888888889" defaultRowHeight="14.4"/>
  <cols>
    <col min="1" max="1" width="5.66666666666667" customWidth="1"/>
    <col min="2" max="2" width="4.66666666666667" customWidth="1"/>
    <col min="3" max="3" width="47.6666666666667" style="1" customWidth="1"/>
    <col min="4" max="4" width="19.5555555555556" customWidth="1"/>
    <col min="5" max="5" width="18.5555555555556" customWidth="1"/>
    <col min="6" max="6" width="23.1111111111111" customWidth="1"/>
    <col min="7" max="8" width="11" customWidth="1"/>
    <col min="9" max="9" width="12.1111111111111" customWidth="1"/>
  </cols>
  <sheetData>
    <row r="1" spans="1:9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4" t="s">
        <v>8</v>
      </c>
    </row>
    <row r="2" spans="1:9">
      <c r="A2" s="8"/>
      <c r="B2" s="9"/>
      <c r="C2" s="10"/>
      <c r="D2" s="11"/>
      <c r="E2" s="11"/>
      <c r="F2" s="11"/>
      <c r="G2" s="12"/>
      <c r="H2" s="13"/>
      <c r="I2" s="55"/>
    </row>
    <row r="3" ht="15.15" spans="1:9">
      <c r="A3" s="14">
        <v>1</v>
      </c>
      <c r="B3" s="15">
        <v>2</v>
      </c>
      <c r="C3" s="16">
        <v>3</v>
      </c>
      <c r="D3" s="17">
        <v>4</v>
      </c>
      <c r="E3" s="18">
        <v>5</v>
      </c>
      <c r="F3" s="18">
        <v>6</v>
      </c>
      <c r="G3" s="15">
        <v>7</v>
      </c>
      <c r="H3" s="19">
        <v>8</v>
      </c>
      <c r="I3" s="56">
        <v>9</v>
      </c>
    </row>
    <row r="4" spans="1:9">
      <c r="A4" s="20" t="s">
        <v>9</v>
      </c>
      <c r="B4" s="21">
        <v>1</v>
      </c>
      <c r="C4" s="22" t="s">
        <v>10</v>
      </c>
      <c r="D4" s="23"/>
      <c r="E4" s="24">
        <v>150000</v>
      </c>
      <c r="F4" s="25"/>
      <c r="G4" s="26"/>
      <c r="H4" s="27"/>
      <c r="I4" s="57">
        <f t="shared" ref="I4:I67" si="0">SUM(D4:H4)</f>
        <v>150000</v>
      </c>
    </row>
    <row r="5" spans="1:9">
      <c r="A5" s="20" t="s">
        <v>9</v>
      </c>
      <c r="B5" s="21">
        <v>2</v>
      </c>
      <c r="C5" s="22" t="s">
        <v>11</v>
      </c>
      <c r="D5" s="23"/>
      <c r="E5" s="24">
        <v>150000</v>
      </c>
      <c r="F5" s="25"/>
      <c r="G5" s="26"/>
      <c r="H5" s="27"/>
      <c r="I5" s="57">
        <f t="shared" si="0"/>
        <v>150000</v>
      </c>
    </row>
    <row r="6" spans="1:9">
      <c r="A6" s="20" t="s">
        <v>9</v>
      </c>
      <c r="B6" s="21">
        <v>3</v>
      </c>
      <c r="C6" s="22" t="s">
        <v>12</v>
      </c>
      <c r="D6" s="23"/>
      <c r="E6" s="24">
        <v>150000</v>
      </c>
      <c r="F6" s="25"/>
      <c r="G6" s="25"/>
      <c r="H6" s="25"/>
      <c r="I6" s="57">
        <f t="shared" si="0"/>
        <v>150000</v>
      </c>
    </row>
    <row r="7" spans="1:9">
      <c r="A7" s="20" t="s">
        <v>9</v>
      </c>
      <c r="B7" s="21">
        <v>4</v>
      </c>
      <c r="C7" s="22" t="s">
        <v>13</v>
      </c>
      <c r="D7" s="23"/>
      <c r="E7" s="24">
        <v>150000</v>
      </c>
      <c r="F7" s="23"/>
      <c r="G7" s="26"/>
      <c r="H7" s="26"/>
      <c r="I7" s="57">
        <f t="shared" si="0"/>
        <v>150000</v>
      </c>
    </row>
    <row r="8" spans="1:9">
      <c r="A8" s="20" t="s">
        <v>9</v>
      </c>
      <c r="B8" s="21">
        <v>5</v>
      </c>
      <c r="C8" s="22" t="s">
        <v>14</v>
      </c>
      <c r="D8" s="23"/>
      <c r="E8" s="24">
        <v>150000</v>
      </c>
      <c r="F8" s="25">
        <v>2500000</v>
      </c>
      <c r="G8" s="26"/>
      <c r="H8" s="27"/>
      <c r="I8" s="57">
        <f t="shared" si="0"/>
        <v>2650000</v>
      </c>
    </row>
    <row r="9" spans="1:9">
      <c r="A9" s="20" t="s">
        <v>9</v>
      </c>
      <c r="B9" s="21">
        <v>6</v>
      </c>
      <c r="C9" s="22" t="s">
        <v>15</v>
      </c>
      <c r="D9" s="24"/>
      <c r="E9" s="24">
        <v>150000</v>
      </c>
      <c r="F9" s="24"/>
      <c r="G9" s="28"/>
      <c r="H9" s="28"/>
      <c r="I9" s="57">
        <f t="shared" si="0"/>
        <v>150000</v>
      </c>
    </row>
    <row r="10" spans="1:9">
      <c r="A10" s="20" t="s">
        <v>9</v>
      </c>
      <c r="B10" s="21">
        <v>7</v>
      </c>
      <c r="C10" s="29" t="s">
        <v>16</v>
      </c>
      <c r="D10" s="23"/>
      <c r="E10" s="24">
        <v>150000</v>
      </c>
      <c r="F10" s="25"/>
      <c r="G10" s="26"/>
      <c r="H10" s="27"/>
      <c r="I10" s="57">
        <f t="shared" si="0"/>
        <v>150000</v>
      </c>
    </row>
    <row r="11" spans="1:9">
      <c r="A11" s="20" t="s">
        <v>9</v>
      </c>
      <c r="B11" s="21">
        <v>8</v>
      </c>
      <c r="C11" s="22" t="s">
        <v>17</v>
      </c>
      <c r="D11" s="24"/>
      <c r="E11" s="24">
        <v>150000</v>
      </c>
      <c r="F11" s="24">
        <v>10000000</v>
      </c>
      <c r="G11" s="28"/>
      <c r="H11" s="28"/>
      <c r="I11" s="58">
        <f t="shared" si="0"/>
        <v>10150000</v>
      </c>
    </row>
    <row r="12" spans="1:9">
      <c r="A12" s="20" t="s">
        <v>9</v>
      </c>
      <c r="B12" s="21">
        <v>9</v>
      </c>
      <c r="C12" s="22" t="s">
        <v>18</v>
      </c>
      <c r="D12" s="24"/>
      <c r="E12" s="24">
        <v>150000</v>
      </c>
      <c r="F12" s="24"/>
      <c r="G12" s="28"/>
      <c r="H12" s="28"/>
      <c r="I12" s="58">
        <f t="shared" si="0"/>
        <v>150000</v>
      </c>
    </row>
    <row r="13" spans="1:9">
      <c r="A13" s="20" t="s">
        <v>9</v>
      </c>
      <c r="B13" s="21">
        <v>10</v>
      </c>
      <c r="C13" s="22" t="s">
        <v>19</v>
      </c>
      <c r="D13" s="24"/>
      <c r="E13" s="24">
        <v>150000</v>
      </c>
      <c r="F13" s="24"/>
      <c r="G13" s="28"/>
      <c r="H13" s="28"/>
      <c r="I13" s="58">
        <f t="shared" si="0"/>
        <v>150000</v>
      </c>
    </row>
    <row r="14" spans="1:9">
      <c r="A14" s="20" t="s">
        <v>9</v>
      </c>
      <c r="B14" s="21">
        <v>11</v>
      </c>
      <c r="C14" s="22" t="s">
        <v>20</v>
      </c>
      <c r="D14" s="24"/>
      <c r="E14" s="24">
        <v>150000</v>
      </c>
      <c r="F14" s="24">
        <v>2500000</v>
      </c>
      <c r="G14" s="28"/>
      <c r="H14" s="28"/>
      <c r="I14" s="58">
        <f t="shared" si="0"/>
        <v>2650000</v>
      </c>
    </row>
    <row r="15" spans="1:9">
      <c r="A15" s="30" t="s">
        <v>9</v>
      </c>
      <c r="B15" s="21">
        <v>12</v>
      </c>
      <c r="C15" s="22" t="s">
        <v>21</v>
      </c>
      <c r="D15" s="24"/>
      <c r="E15" s="31">
        <v>150000</v>
      </c>
      <c r="F15" s="24"/>
      <c r="G15" s="28"/>
      <c r="H15" s="28"/>
      <c r="I15" s="58">
        <f t="shared" si="0"/>
        <v>150000</v>
      </c>
    </row>
    <row r="16" spans="1:9">
      <c r="A16" s="30" t="s">
        <v>9</v>
      </c>
      <c r="B16" s="21">
        <v>13</v>
      </c>
      <c r="C16" s="22" t="s">
        <v>22</v>
      </c>
      <c r="D16" s="24"/>
      <c r="E16" s="31">
        <v>150000</v>
      </c>
      <c r="F16" s="24"/>
      <c r="G16" s="28"/>
      <c r="H16" s="28"/>
      <c r="I16" s="58">
        <f t="shared" si="0"/>
        <v>150000</v>
      </c>
    </row>
    <row r="17" spans="1:9">
      <c r="A17" s="30" t="s">
        <v>9</v>
      </c>
      <c r="B17" s="21">
        <v>14</v>
      </c>
      <c r="C17" s="22" t="s">
        <v>23</v>
      </c>
      <c r="D17" s="24"/>
      <c r="E17" s="31">
        <v>150000</v>
      </c>
      <c r="F17" s="24"/>
      <c r="G17" s="28">
        <v>200000</v>
      </c>
      <c r="H17" s="28">
        <v>20000</v>
      </c>
      <c r="I17" s="58">
        <f t="shared" si="0"/>
        <v>370000</v>
      </c>
    </row>
    <row r="18" spans="1:9">
      <c r="A18" s="30" t="s">
        <v>9</v>
      </c>
      <c r="B18" s="21">
        <v>15</v>
      </c>
      <c r="C18" s="22" t="s">
        <v>24</v>
      </c>
      <c r="D18" s="24"/>
      <c r="E18" s="31">
        <v>150000</v>
      </c>
      <c r="F18" s="24"/>
      <c r="G18" s="24"/>
      <c r="H18" s="24"/>
      <c r="I18" s="58">
        <f t="shared" si="0"/>
        <v>150000</v>
      </c>
    </row>
    <row r="19" spans="1:9">
      <c r="A19" s="30" t="s">
        <v>9</v>
      </c>
      <c r="B19" s="21">
        <v>16</v>
      </c>
      <c r="C19" s="22" t="s">
        <v>25</v>
      </c>
      <c r="D19" s="24"/>
      <c r="E19" s="31">
        <v>150000</v>
      </c>
      <c r="F19" s="24"/>
      <c r="G19" s="28"/>
      <c r="H19" s="28"/>
      <c r="I19" s="58">
        <f t="shared" si="0"/>
        <v>150000</v>
      </c>
    </row>
    <row r="20" spans="1:9">
      <c r="A20" s="30" t="s">
        <v>9</v>
      </c>
      <c r="B20" s="21">
        <v>17</v>
      </c>
      <c r="C20" s="22" t="s">
        <v>26</v>
      </c>
      <c r="D20" s="24"/>
      <c r="E20" s="31">
        <v>150000</v>
      </c>
      <c r="F20" s="24"/>
      <c r="G20" s="28"/>
      <c r="H20" s="28"/>
      <c r="I20" s="58">
        <f t="shared" si="0"/>
        <v>150000</v>
      </c>
    </row>
    <row r="21" spans="1:9">
      <c r="A21" s="30" t="s">
        <v>9</v>
      </c>
      <c r="B21" s="21">
        <v>18</v>
      </c>
      <c r="C21" s="22" t="s">
        <v>27</v>
      </c>
      <c r="D21" s="24"/>
      <c r="E21" s="31">
        <v>150000</v>
      </c>
      <c r="F21" s="24"/>
      <c r="G21" s="28"/>
      <c r="H21" s="28"/>
      <c r="I21" s="58">
        <f t="shared" si="0"/>
        <v>150000</v>
      </c>
    </row>
    <row r="22" spans="1:9">
      <c r="A22" s="30" t="s">
        <v>9</v>
      </c>
      <c r="B22" s="21">
        <v>19</v>
      </c>
      <c r="C22" s="22" t="s">
        <v>28</v>
      </c>
      <c r="D22" s="24"/>
      <c r="E22" s="31">
        <v>150000</v>
      </c>
      <c r="F22" s="24"/>
      <c r="G22" s="28"/>
      <c r="H22" s="28"/>
      <c r="I22" s="58">
        <f t="shared" si="0"/>
        <v>150000</v>
      </c>
    </row>
    <row r="23" spans="1:9">
      <c r="A23" s="30" t="s">
        <v>9</v>
      </c>
      <c r="B23" s="21">
        <v>20</v>
      </c>
      <c r="C23" s="22" t="s">
        <v>29</v>
      </c>
      <c r="D23" s="24"/>
      <c r="E23" s="31">
        <v>150000</v>
      </c>
      <c r="F23" s="24"/>
      <c r="G23" s="28"/>
      <c r="H23" s="28"/>
      <c r="I23" s="58">
        <f t="shared" si="0"/>
        <v>150000</v>
      </c>
    </row>
    <row r="24" spans="1:9">
      <c r="A24" s="30" t="s">
        <v>9</v>
      </c>
      <c r="B24" s="21">
        <v>21</v>
      </c>
      <c r="C24" s="22" t="s">
        <v>30</v>
      </c>
      <c r="D24" s="24"/>
      <c r="E24" s="31">
        <v>150000</v>
      </c>
      <c r="F24" s="24"/>
      <c r="G24" s="28">
        <v>5000000</v>
      </c>
      <c r="H24" s="28">
        <v>500000</v>
      </c>
      <c r="I24" s="58">
        <f t="shared" si="0"/>
        <v>5650000</v>
      </c>
    </row>
    <row r="25" spans="1:9">
      <c r="A25" s="30" t="s">
        <v>9</v>
      </c>
      <c r="B25" s="21">
        <v>22</v>
      </c>
      <c r="C25" s="22" t="s">
        <v>31</v>
      </c>
      <c r="D25" s="24"/>
      <c r="E25" s="31">
        <v>150000</v>
      </c>
      <c r="F25" s="24"/>
      <c r="G25" s="28"/>
      <c r="H25" s="28"/>
      <c r="I25" s="58">
        <f t="shared" si="0"/>
        <v>150000</v>
      </c>
    </row>
    <row r="26" spans="1:9">
      <c r="A26" s="30" t="s">
        <v>9</v>
      </c>
      <c r="B26" s="21">
        <v>23</v>
      </c>
      <c r="C26" s="22" t="s">
        <v>32</v>
      </c>
      <c r="D26" s="24"/>
      <c r="E26" s="31">
        <v>150000</v>
      </c>
      <c r="F26" s="24"/>
      <c r="G26" s="28"/>
      <c r="H26" s="28"/>
      <c r="I26" s="58">
        <f t="shared" si="0"/>
        <v>150000</v>
      </c>
    </row>
    <row r="27" spans="1:9">
      <c r="A27" s="30" t="s">
        <v>9</v>
      </c>
      <c r="B27" s="21">
        <v>24</v>
      </c>
      <c r="C27" s="22" t="s">
        <v>33</v>
      </c>
      <c r="D27" s="24"/>
      <c r="E27" s="31">
        <v>150000</v>
      </c>
      <c r="F27" s="24"/>
      <c r="G27" s="28"/>
      <c r="H27" s="28"/>
      <c r="I27" s="58">
        <f t="shared" si="0"/>
        <v>150000</v>
      </c>
    </row>
    <row r="28" spans="1:9">
      <c r="A28" s="30" t="s">
        <v>9</v>
      </c>
      <c r="B28" s="21">
        <v>25</v>
      </c>
      <c r="C28" s="22" t="s">
        <v>34</v>
      </c>
      <c r="D28" s="24"/>
      <c r="E28" s="31">
        <v>150000</v>
      </c>
      <c r="F28" s="24">
        <v>2000000</v>
      </c>
      <c r="G28" s="28"/>
      <c r="H28" s="28"/>
      <c r="I28" s="58">
        <f t="shared" si="0"/>
        <v>2150000</v>
      </c>
    </row>
    <row r="29" spans="1:9">
      <c r="A29" s="30" t="s">
        <v>9</v>
      </c>
      <c r="B29" s="21">
        <v>26</v>
      </c>
      <c r="C29" s="22" t="s">
        <v>35</v>
      </c>
      <c r="D29" s="24"/>
      <c r="E29" s="31">
        <v>150000</v>
      </c>
      <c r="F29" s="24"/>
      <c r="G29" s="28"/>
      <c r="H29" s="28"/>
      <c r="I29" s="58">
        <f t="shared" si="0"/>
        <v>150000</v>
      </c>
    </row>
    <row r="30" spans="1:9">
      <c r="A30" s="30" t="s">
        <v>9</v>
      </c>
      <c r="B30" s="21">
        <v>27</v>
      </c>
      <c r="C30" s="22" t="s">
        <v>36</v>
      </c>
      <c r="D30" s="24"/>
      <c r="E30" s="31">
        <v>150000</v>
      </c>
      <c r="F30" s="24"/>
      <c r="G30" s="28"/>
      <c r="H30" s="28"/>
      <c r="I30" s="58">
        <f t="shared" si="0"/>
        <v>150000</v>
      </c>
    </row>
    <row r="31" spans="1:9">
      <c r="A31" s="30" t="s">
        <v>9</v>
      </c>
      <c r="B31" s="21">
        <v>28</v>
      </c>
      <c r="C31" s="22" t="s">
        <v>37</v>
      </c>
      <c r="D31" s="24"/>
      <c r="E31" s="31">
        <v>150000</v>
      </c>
      <c r="F31" s="24"/>
      <c r="G31" s="28"/>
      <c r="H31" s="28"/>
      <c r="I31" s="58">
        <f t="shared" si="0"/>
        <v>150000</v>
      </c>
    </row>
    <row r="32" spans="1:9">
      <c r="A32" s="30" t="s">
        <v>9</v>
      </c>
      <c r="B32" s="21">
        <v>29</v>
      </c>
      <c r="C32" s="22" t="s">
        <v>38</v>
      </c>
      <c r="D32" s="24"/>
      <c r="E32" s="31">
        <v>150000</v>
      </c>
      <c r="F32" s="24"/>
      <c r="G32" s="28"/>
      <c r="H32" s="28"/>
      <c r="I32" s="58">
        <f t="shared" si="0"/>
        <v>150000</v>
      </c>
    </row>
    <row r="33" spans="1:9">
      <c r="A33" s="30" t="s">
        <v>9</v>
      </c>
      <c r="B33" s="21">
        <v>30</v>
      </c>
      <c r="C33" s="22" t="s">
        <v>39</v>
      </c>
      <c r="D33" s="23"/>
      <c r="E33" s="31">
        <v>150000</v>
      </c>
      <c r="F33" s="23"/>
      <c r="G33" s="23"/>
      <c r="H33" s="23"/>
      <c r="I33" s="57">
        <f t="shared" si="0"/>
        <v>150000</v>
      </c>
    </row>
    <row r="34" spans="1:9">
      <c r="A34" s="30" t="s">
        <v>9</v>
      </c>
      <c r="B34" s="21">
        <v>31</v>
      </c>
      <c r="C34" s="32" t="s">
        <v>40</v>
      </c>
      <c r="D34" s="23"/>
      <c r="E34" s="31">
        <v>150000</v>
      </c>
      <c r="F34" s="24"/>
      <c r="G34" s="28"/>
      <c r="H34" s="28"/>
      <c r="I34" s="58">
        <f t="shared" si="0"/>
        <v>150000</v>
      </c>
    </row>
    <row r="35" spans="1:9">
      <c r="A35" s="30" t="s">
        <v>9</v>
      </c>
      <c r="B35" s="21">
        <v>32</v>
      </c>
      <c r="C35" s="22" t="s">
        <v>41</v>
      </c>
      <c r="D35" s="23"/>
      <c r="E35" s="31">
        <v>150000</v>
      </c>
      <c r="F35" s="33"/>
      <c r="G35" s="33"/>
      <c r="H35" s="33"/>
      <c r="I35" s="57">
        <f t="shared" si="0"/>
        <v>150000</v>
      </c>
    </row>
    <row r="36" spans="1:9">
      <c r="A36" s="30" t="s">
        <v>9</v>
      </c>
      <c r="B36" s="21">
        <v>33</v>
      </c>
      <c r="C36" s="32" t="s">
        <v>42</v>
      </c>
      <c r="D36" s="23"/>
      <c r="E36" s="31">
        <v>150000</v>
      </c>
      <c r="F36" s="33"/>
      <c r="G36" s="33"/>
      <c r="H36" s="33"/>
      <c r="I36" s="57">
        <f t="shared" si="0"/>
        <v>150000</v>
      </c>
    </row>
    <row r="37" spans="1:9">
      <c r="A37" s="30" t="s">
        <v>9</v>
      </c>
      <c r="B37" s="21">
        <v>34</v>
      </c>
      <c r="C37" s="32" t="s">
        <v>43</v>
      </c>
      <c r="D37" s="23"/>
      <c r="E37" s="31">
        <v>150000</v>
      </c>
      <c r="F37" s="33"/>
      <c r="G37" s="33"/>
      <c r="H37" s="33"/>
      <c r="I37" s="57">
        <f t="shared" si="0"/>
        <v>150000</v>
      </c>
    </row>
    <row r="38" spans="1:9">
      <c r="A38" s="30" t="s">
        <v>9</v>
      </c>
      <c r="B38" s="21">
        <v>35</v>
      </c>
      <c r="C38" s="34" t="s">
        <v>44</v>
      </c>
      <c r="D38" s="23"/>
      <c r="E38" s="31">
        <v>150000</v>
      </c>
      <c r="F38" s="33">
        <v>5000000</v>
      </c>
      <c r="G38" s="33"/>
      <c r="H38" s="33"/>
      <c r="I38" s="57">
        <f t="shared" si="0"/>
        <v>5150000</v>
      </c>
    </row>
    <row r="39" spans="1:9">
      <c r="A39" s="30" t="s">
        <v>9</v>
      </c>
      <c r="B39" s="21">
        <v>36</v>
      </c>
      <c r="C39" s="32" t="s">
        <v>45</v>
      </c>
      <c r="D39" s="23"/>
      <c r="E39" s="31">
        <v>150000</v>
      </c>
      <c r="F39" s="33"/>
      <c r="G39" s="33"/>
      <c r="H39" s="33"/>
      <c r="I39" s="57">
        <f t="shared" si="0"/>
        <v>150000</v>
      </c>
    </row>
    <row r="40" spans="1:9">
      <c r="A40" s="30" t="s">
        <v>9</v>
      </c>
      <c r="B40" s="21">
        <v>37</v>
      </c>
      <c r="C40" s="32" t="s">
        <v>46</v>
      </c>
      <c r="D40" s="23"/>
      <c r="E40" s="31">
        <v>150000</v>
      </c>
      <c r="F40" s="33"/>
      <c r="G40" s="33"/>
      <c r="H40" s="33"/>
      <c r="I40" s="57">
        <f t="shared" si="0"/>
        <v>150000</v>
      </c>
    </row>
    <row r="41" spans="1:9">
      <c r="A41" s="30" t="s">
        <v>9</v>
      </c>
      <c r="B41" s="21">
        <v>38</v>
      </c>
      <c r="C41" s="32" t="s">
        <v>47</v>
      </c>
      <c r="D41" s="23"/>
      <c r="E41" s="31">
        <v>150000</v>
      </c>
      <c r="F41" s="33"/>
      <c r="G41" s="33"/>
      <c r="H41" s="33"/>
      <c r="I41" s="57">
        <f t="shared" si="0"/>
        <v>150000</v>
      </c>
    </row>
    <row r="42" spans="1:9">
      <c r="A42" s="30" t="s">
        <v>9</v>
      </c>
      <c r="B42" s="21">
        <v>39</v>
      </c>
      <c r="C42" s="32" t="s">
        <v>48</v>
      </c>
      <c r="D42" s="23"/>
      <c r="E42" s="31">
        <v>150000</v>
      </c>
      <c r="F42" s="33"/>
      <c r="G42" s="33"/>
      <c r="H42" s="33"/>
      <c r="I42" s="57">
        <f t="shared" si="0"/>
        <v>150000</v>
      </c>
    </row>
    <row r="43" spans="1:9">
      <c r="A43" s="30" t="s">
        <v>9</v>
      </c>
      <c r="B43" s="21">
        <v>40</v>
      </c>
      <c r="C43" s="32" t="s">
        <v>49</v>
      </c>
      <c r="D43" s="23"/>
      <c r="E43" s="31">
        <v>150000</v>
      </c>
      <c r="F43" s="33"/>
      <c r="G43" s="33"/>
      <c r="H43" s="33"/>
      <c r="I43" s="57">
        <f t="shared" si="0"/>
        <v>150000</v>
      </c>
    </row>
    <row r="44" spans="1:9">
      <c r="A44" s="30" t="s">
        <v>9</v>
      </c>
      <c r="B44" s="21">
        <v>41</v>
      </c>
      <c r="C44" s="32" t="s">
        <v>50</v>
      </c>
      <c r="D44" s="23"/>
      <c r="E44" s="31">
        <v>150000</v>
      </c>
      <c r="F44" s="33">
        <v>2000000</v>
      </c>
      <c r="G44" s="33"/>
      <c r="H44" s="33"/>
      <c r="I44" s="57">
        <f t="shared" si="0"/>
        <v>2150000</v>
      </c>
    </row>
    <row r="45" spans="1:9">
      <c r="A45" s="30" t="s">
        <v>9</v>
      </c>
      <c r="B45" s="21">
        <v>42</v>
      </c>
      <c r="C45" s="32" t="s">
        <v>51</v>
      </c>
      <c r="D45" s="23"/>
      <c r="E45" s="31">
        <v>150000</v>
      </c>
      <c r="F45" s="33">
        <v>2500000</v>
      </c>
      <c r="G45" s="33"/>
      <c r="H45" s="33"/>
      <c r="I45" s="57">
        <f t="shared" si="0"/>
        <v>2650000</v>
      </c>
    </row>
    <row r="46" spans="1:9">
      <c r="A46" s="30" t="s">
        <v>9</v>
      </c>
      <c r="B46" s="21">
        <v>43</v>
      </c>
      <c r="C46" s="32" t="s">
        <v>52</v>
      </c>
      <c r="D46" s="23"/>
      <c r="E46" s="31">
        <v>150000</v>
      </c>
      <c r="F46" s="33"/>
      <c r="G46" s="33"/>
      <c r="H46" s="33"/>
      <c r="I46" s="57">
        <f t="shared" si="0"/>
        <v>150000</v>
      </c>
    </row>
    <row r="47" spans="1:9">
      <c r="A47" s="30" t="s">
        <v>9</v>
      </c>
      <c r="B47" s="21">
        <v>44</v>
      </c>
      <c r="C47" s="32" t="s">
        <v>53</v>
      </c>
      <c r="D47" s="23"/>
      <c r="E47" s="31">
        <v>150000</v>
      </c>
      <c r="F47" s="33"/>
      <c r="G47" s="33"/>
      <c r="H47" s="33"/>
      <c r="I47" s="57">
        <f t="shared" si="0"/>
        <v>150000</v>
      </c>
    </row>
    <row r="48" spans="1:9">
      <c r="A48" s="30" t="s">
        <v>9</v>
      </c>
      <c r="B48" s="21">
        <v>45</v>
      </c>
      <c r="C48" s="35" t="s">
        <v>54</v>
      </c>
      <c r="D48" s="23"/>
      <c r="E48" s="31">
        <v>150000</v>
      </c>
      <c r="F48" s="33">
        <v>350000</v>
      </c>
      <c r="G48" s="33">
        <v>5000000</v>
      </c>
      <c r="H48" s="33">
        <v>500000</v>
      </c>
      <c r="I48" s="57">
        <f t="shared" si="0"/>
        <v>6000000</v>
      </c>
    </row>
    <row r="49" spans="1:9">
      <c r="A49" s="30" t="s">
        <v>9</v>
      </c>
      <c r="B49" s="21">
        <v>46</v>
      </c>
      <c r="C49" s="29" t="s">
        <v>55</v>
      </c>
      <c r="D49" s="23"/>
      <c r="E49" s="31">
        <v>150000</v>
      </c>
      <c r="F49" s="33"/>
      <c r="G49" s="33"/>
      <c r="H49" s="33"/>
      <c r="I49" s="57">
        <f t="shared" si="0"/>
        <v>150000</v>
      </c>
    </row>
    <row r="50" spans="1:9">
      <c r="A50" s="30" t="s">
        <v>9</v>
      </c>
      <c r="B50" s="21">
        <v>47</v>
      </c>
      <c r="C50" s="32" t="s">
        <v>56</v>
      </c>
      <c r="D50" s="23"/>
      <c r="E50" s="31">
        <v>150000</v>
      </c>
      <c r="F50" s="33">
        <v>4650000</v>
      </c>
      <c r="G50" s="33"/>
      <c r="H50" s="33"/>
      <c r="I50" s="57">
        <f t="shared" si="0"/>
        <v>4800000</v>
      </c>
    </row>
    <row r="51" spans="1:9">
      <c r="A51" s="30" t="s">
        <v>9</v>
      </c>
      <c r="B51" s="21">
        <v>48</v>
      </c>
      <c r="C51" s="32" t="s">
        <v>57</v>
      </c>
      <c r="D51" s="23"/>
      <c r="E51" s="31">
        <v>150000</v>
      </c>
      <c r="F51" s="33">
        <v>1000000</v>
      </c>
      <c r="G51" s="36"/>
      <c r="H51" s="27"/>
      <c r="I51" s="57">
        <f t="shared" si="0"/>
        <v>1150000</v>
      </c>
    </row>
    <row r="52" spans="1:9">
      <c r="A52" s="30" t="s">
        <v>9</v>
      </c>
      <c r="B52" s="21">
        <v>49</v>
      </c>
      <c r="C52" s="37" t="s">
        <v>58</v>
      </c>
      <c r="D52" s="23"/>
      <c r="E52" s="31">
        <v>150000</v>
      </c>
      <c r="F52" s="23"/>
      <c r="G52" s="23"/>
      <c r="H52" s="23"/>
      <c r="I52" s="57">
        <f t="shared" si="0"/>
        <v>150000</v>
      </c>
    </row>
    <row r="53" spans="1:9">
      <c r="A53" s="30" t="s">
        <v>9</v>
      </c>
      <c r="B53" s="21">
        <v>50</v>
      </c>
      <c r="C53" s="32" t="s">
        <v>59</v>
      </c>
      <c r="D53" s="23"/>
      <c r="E53" s="31">
        <v>150000</v>
      </c>
      <c r="F53" s="33"/>
      <c r="G53" s="33"/>
      <c r="H53" s="33"/>
      <c r="I53" s="59">
        <f t="shared" si="0"/>
        <v>150000</v>
      </c>
    </row>
    <row r="54" spans="1:9">
      <c r="A54" s="30" t="s">
        <v>9</v>
      </c>
      <c r="B54" s="21">
        <v>51</v>
      </c>
      <c r="C54" s="32" t="s">
        <v>60</v>
      </c>
      <c r="D54" s="23"/>
      <c r="E54" s="31">
        <v>150000</v>
      </c>
      <c r="F54" s="33"/>
      <c r="G54" s="33"/>
      <c r="H54" s="33"/>
      <c r="I54" s="59">
        <f t="shared" si="0"/>
        <v>150000</v>
      </c>
    </row>
    <row r="55" spans="1:9">
      <c r="A55" s="30" t="s">
        <v>9</v>
      </c>
      <c r="B55" s="21">
        <v>52</v>
      </c>
      <c r="C55" s="38" t="s">
        <v>61</v>
      </c>
      <c r="D55" s="39"/>
      <c r="E55" s="31">
        <v>150000</v>
      </c>
      <c r="F55" s="40"/>
      <c r="G55" s="41"/>
      <c r="H55" s="42"/>
      <c r="I55" s="60">
        <f t="shared" si="0"/>
        <v>150000</v>
      </c>
    </row>
    <row r="56" spans="1:9">
      <c r="A56" s="30" t="s">
        <v>9</v>
      </c>
      <c r="B56" s="21">
        <v>53</v>
      </c>
      <c r="C56" s="22" t="s">
        <v>62</v>
      </c>
      <c r="D56" s="23"/>
      <c r="E56" s="31">
        <v>150000</v>
      </c>
      <c r="F56" s="33"/>
      <c r="G56" s="33"/>
      <c r="H56" s="33"/>
      <c r="I56" s="61">
        <f t="shared" si="0"/>
        <v>150000</v>
      </c>
    </row>
    <row r="57" spans="1:9">
      <c r="A57" s="30" t="s">
        <v>9</v>
      </c>
      <c r="B57" s="21">
        <v>54</v>
      </c>
      <c r="C57" s="29" t="s">
        <v>63</v>
      </c>
      <c r="D57" s="23"/>
      <c r="E57" s="31">
        <v>150000</v>
      </c>
      <c r="F57" s="33"/>
      <c r="G57" s="33"/>
      <c r="H57" s="33"/>
      <c r="I57" s="61">
        <f t="shared" si="0"/>
        <v>150000</v>
      </c>
    </row>
    <row r="58" spans="1:9">
      <c r="A58" s="30" t="s">
        <v>9</v>
      </c>
      <c r="B58" s="21">
        <v>55</v>
      </c>
      <c r="C58" s="22" t="s">
        <v>64</v>
      </c>
      <c r="D58" s="24"/>
      <c r="E58" s="31">
        <v>150000</v>
      </c>
      <c r="F58" s="24"/>
      <c r="G58" s="28"/>
      <c r="H58" s="28"/>
      <c r="I58" s="58">
        <f t="shared" si="0"/>
        <v>150000</v>
      </c>
    </row>
    <row r="59" spans="1:9">
      <c r="A59" s="30" t="s">
        <v>9</v>
      </c>
      <c r="B59" s="21">
        <v>56</v>
      </c>
      <c r="C59" s="43" t="s">
        <v>65</v>
      </c>
      <c r="D59" s="23"/>
      <c r="E59" s="31">
        <v>150000</v>
      </c>
      <c r="F59" s="33"/>
      <c r="G59" s="36"/>
      <c r="H59" s="44"/>
      <c r="I59" s="57">
        <f t="shared" si="0"/>
        <v>150000</v>
      </c>
    </row>
    <row r="60" spans="1:9">
      <c r="A60" s="30" t="s">
        <v>9</v>
      </c>
      <c r="B60" s="21">
        <v>57</v>
      </c>
      <c r="C60" s="45" t="s">
        <v>66</v>
      </c>
      <c r="D60" s="23"/>
      <c r="E60" s="31">
        <v>150000</v>
      </c>
      <c r="F60" s="33"/>
      <c r="G60" s="33">
        <v>800000</v>
      </c>
      <c r="H60" s="33">
        <v>160000</v>
      </c>
      <c r="I60" s="62">
        <f t="shared" si="0"/>
        <v>1110000</v>
      </c>
    </row>
    <row r="61" spans="1:9">
      <c r="A61" s="30" t="s">
        <v>9</v>
      </c>
      <c r="B61" s="21">
        <v>58</v>
      </c>
      <c r="C61" s="43" t="s">
        <v>67</v>
      </c>
      <c r="D61" s="23"/>
      <c r="E61" s="31">
        <v>150000</v>
      </c>
      <c r="F61" s="33"/>
      <c r="G61" s="36">
        <v>800000</v>
      </c>
      <c r="H61" s="27">
        <v>120000</v>
      </c>
      <c r="I61" s="57">
        <f t="shared" si="0"/>
        <v>1070000</v>
      </c>
    </row>
    <row r="62" spans="1:9">
      <c r="A62" s="46" t="s">
        <v>9</v>
      </c>
      <c r="B62" s="21">
        <v>59</v>
      </c>
      <c r="C62" s="47" t="s">
        <v>68</v>
      </c>
      <c r="D62" s="48"/>
      <c r="E62" s="49">
        <v>150000</v>
      </c>
      <c r="F62" s="50">
        <v>200000</v>
      </c>
      <c r="G62" s="51"/>
      <c r="H62" s="52"/>
      <c r="I62" s="63">
        <f t="shared" si="0"/>
        <v>350000</v>
      </c>
    </row>
    <row r="63" spans="1:9">
      <c r="A63" s="30" t="s">
        <v>9</v>
      </c>
      <c r="B63" s="21">
        <v>60</v>
      </c>
      <c r="C63" s="22" t="s">
        <v>69</v>
      </c>
      <c r="D63" s="23"/>
      <c r="E63" s="31">
        <v>150000</v>
      </c>
      <c r="F63" s="33">
        <v>1000000</v>
      </c>
      <c r="G63" s="33"/>
      <c r="H63" s="27"/>
      <c r="I63" s="31">
        <f t="shared" si="0"/>
        <v>1150000</v>
      </c>
    </row>
    <row r="64" spans="1:9">
      <c r="A64" s="30" t="s">
        <v>9</v>
      </c>
      <c r="B64" s="21">
        <v>61</v>
      </c>
      <c r="C64" s="45" t="s">
        <v>70</v>
      </c>
      <c r="D64" s="24"/>
      <c r="E64" s="31">
        <v>150000</v>
      </c>
      <c r="F64" s="33"/>
      <c r="G64" s="33"/>
      <c r="H64" s="53"/>
      <c r="I64" s="62">
        <f t="shared" si="0"/>
        <v>150000</v>
      </c>
    </row>
    <row r="65" spans="1:9">
      <c r="A65" s="30" t="s">
        <v>9</v>
      </c>
      <c r="B65" s="21">
        <v>62</v>
      </c>
      <c r="C65" s="45" t="s">
        <v>71</v>
      </c>
      <c r="D65" s="23"/>
      <c r="E65" s="31">
        <v>150000</v>
      </c>
      <c r="F65" s="33"/>
      <c r="G65" s="36"/>
      <c r="H65" s="44"/>
      <c r="I65" s="57">
        <f t="shared" si="0"/>
        <v>150000</v>
      </c>
    </row>
    <row r="66" spans="1:9">
      <c r="A66" s="30" t="s">
        <v>9</v>
      </c>
      <c r="B66" s="21">
        <v>63</v>
      </c>
      <c r="C66" s="45" t="s">
        <v>72</v>
      </c>
      <c r="D66" s="24"/>
      <c r="E66" s="31">
        <v>150000</v>
      </c>
      <c r="F66" s="33"/>
      <c r="G66" s="36"/>
      <c r="H66" s="53"/>
      <c r="I66" s="62">
        <f t="shared" si="0"/>
        <v>150000</v>
      </c>
    </row>
    <row r="67" spans="1:9">
      <c r="A67" s="30" t="s">
        <v>9</v>
      </c>
      <c r="B67" s="21">
        <v>64</v>
      </c>
      <c r="C67" s="22" t="s">
        <v>73</v>
      </c>
      <c r="D67" s="23"/>
      <c r="E67" s="31">
        <v>150000</v>
      </c>
      <c r="F67" s="33"/>
      <c r="G67" s="36"/>
      <c r="H67" s="44"/>
      <c r="I67" s="57">
        <f t="shared" si="0"/>
        <v>150000</v>
      </c>
    </row>
    <row r="68" spans="1:9">
      <c r="A68" s="30" t="s">
        <v>9</v>
      </c>
      <c r="B68" s="21">
        <v>65</v>
      </c>
      <c r="C68" s="22" t="s">
        <v>74</v>
      </c>
      <c r="D68" s="24"/>
      <c r="E68" s="31">
        <v>150000</v>
      </c>
      <c r="F68" s="33"/>
      <c r="G68" s="36"/>
      <c r="H68" s="53"/>
      <c r="I68" s="62">
        <f t="shared" ref="I68:I113" si="1">SUM(D68:H68)</f>
        <v>150000</v>
      </c>
    </row>
    <row r="69" spans="1:9">
      <c r="A69" s="30" t="s">
        <v>9</v>
      </c>
      <c r="B69" s="21">
        <v>66</v>
      </c>
      <c r="C69" s="22" t="s">
        <v>75</v>
      </c>
      <c r="D69" s="24"/>
      <c r="E69" s="31">
        <v>150000</v>
      </c>
      <c r="F69" s="33"/>
      <c r="G69" s="36"/>
      <c r="H69" s="53"/>
      <c r="I69" s="62">
        <f t="shared" si="1"/>
        <v>150000</v>
      </c>
    </row>
    <row r="70" spans="1:9">
      <c r="A70" s="30" t="s">
        <v>9</v>
      </c>
      <c r="B70" s="21">
        <v>67</v>
      </c>
      <c r="C70" s="22" t="s">
        <v>76</v>
      </c>
      <c r="D70" s="24"/>
      <c r="E70" s="31">
        <v>150000</v>
      </c>
      <c r="F70" s="33"/>
      <c r="G70" s="36"/>
      <c r="H70" s="53"/>
      <c r="I70" s="62">
        <f t="shared" si="1"/>
        <v>150000</v>
      </c>
    </row>
    <row r="71" spans="1:9">
      <c r="A71" s="64" t="s">
        <v>9</v>
      </c>
      <c r="B71" s="21">
        <v>68</v>
      </c>
      <c r="C71" s="65" t="s">
        <v>77</v>
      </c>
      <c r="D71" s="24"/>
      <c r="E71" s="31">
        <v>150000</v>
      </c>
      <c r="F71" s="33">
        <v>1000000</v>
      </c>
      <c r="G71" s="36"/>
      <c r="H71" s="53"/>
      <c r="I71" s="62">
        <f t="shared" si="1"/>
        <v>1150000</v>
      </c>
    </row>
    <row r="72" spans="1:9">
      <c r="A72" s="64" t="s">
        <v>9</v>
      </c>
      <c r="B72" s="21">
        <v>69</v>
      </c>
      <c r="C72" s="65" t="s">
        <v>78</v>
      </c>
      <c r="D72" s="24"/>
      <c r="E72" s="31">
        <v>150000</v>
      </c>
      <c r="F72" s="33"/>
      <c r="G72" s="36"/>
      <c r="H72" s="53"/>
      <c r="I72" s="62">
        <f t="shared" si="1"/>
        <v>150000</v>
      </c>
    </row>
    <row r="73" spans="1:9">
      <c r="A73" s="30" t="s">
        <v>79</v>
      </c>
      <c r="B73" s="21">
        <v>70</v>
      </c>
      <c r="C73" s="45" t="s">
        <v>80</v>
      </c>
      <c r="D73" s="24"/>
      <c r="E73" s="31">
        <v>150000</v>
      </c>
      <c r="F73" s="33"/>
      <c r="G73" s="36"/>
      <c r="H73" s="53"/>
      <c r="I73" s="62">
        <f t="shared" si="1"/>
        <v>150000</v>
      </c>
    </row>
    <row r="74" spans="1:9">
      <c r="A74" s="30" t="s">
        <v>79</v>
      </c>
      <c r="B74" s="21">
        <v>71</v>
      </c>
      <c r="C74" s="45" t="s">
        <v>81</v>
      </c>
      <c r="D74" s="24"/>
      <c r="E74" s="31">
        <v>150000</v>
      </c>
      <c r="F74" s="33"/>
      <c r="G74" s="36"/>
      <c r="H74" s="53"/>
      <c r="I74" s="62">
        <f t="shared" si="1"/>
        <v>150000</v>
      </c>
    </row>
    <row r="75" spans="1:9">
      <c r="A75" s="30" t="s">
        <v>79</v>
      </c>
      <c r="B75" s="21">
        <v>72</v>
      </c>
      <c r="C75" s="45" t="s">
        <v>82</v>
      </c>
      <c r="D75" s="24"/>
      <c r="E75" s="31">
        <v>150000</v>
      </c>
      <c r="F75" s="33"/>
      <c r="G75" s="36"/>
      <c r="H75" s="53"/>
      <c r="I75" s="62">
        <f t="shared" si="1"/>
        <v>150000</v>
      </c>
    </row>
    <row r="76" spans="1:9">
      <c r="A76" s="66" t="s">
        <v>79</v>
      </c>
      <c r="B76" s="21">
        <v>73</v>
      </c>
      <c r="C76" s="67" t="s">
        <v>83</v>
      </c>
      <c r="D76" s="68"/>
      <c r="E76" s="69">
        <v>150000</v>
      </c>
      <c r="F76" s="70"/>
      <c r="G76" s="70"/>
      <c r="H76" s="70"/>
      <c r="I76" s="86">
        <f t="shared" si="1"/>
        <v>150000</v>
      </c>
    </row>
    <row r="77" spans="1:9">
      <c r="A77" s="30" t="s">
        <v>79</v>
      </c>
      <c r="B77" s="21">
        <v>74</v>
      </c>
      <c r="C77" s="45" t="s">
        <v>84</v>
      </c>
      <c r="D77" s="24"/>
      <c r="E77" s="31">
        <v>150000</v>
      </c>
      <c r="F77" s="33"/>
      <c r="G77" s="33"/>
      <c r="H77" s="33"/>
      <c r="I77" s="62">
        <f t="shared" si="1"/>
        <v>150000</v>
      </c>
    </row>
    <row r="78" spans="1:9">
      <c r="A78" s="30" t="s">
        <v>79</v>
      </c>
      <c r="B78" s="21">
        <v>75</v>
      </c>
      <c r="C78" s="45" t="s">
        <v>85</v>
      </c>
      <c r="D78" s="24"/>
      <c r="E78" s="31">
        <v>150000</v>
      </c>
      <c r="F78" s="33">
        <v>1000000</v>
      </c>
      <c r="G78" s="36"/>
      <c r="H78" s="53"/>
      <c r="I78" s="62">
        <f t="shared" si="1"/>
        <v>1150000</v>
      </c>
    </row>
    <row r="79" spans="1:9">
      <c r="A79" s="30" t="s">
        <v>79</v>
      </c>
      <c r="B79" s="21">
        <v>76</v>
      </c>
      <c r="C79" s="45" t="s">
        <v>86</v>
      </c>
      <c r="D79" s="24"/>
      <c r="E79" s="31">
        <v>150000</v>
      </c>
      <c r="F79" s="33"/>
      <c r="G79" s="33"/>
      <c r="H79" s="33"/>
      <c r="I79" s="62">
        <f t="shared" si="1"/>
        <v>150000</v>
      </c>
    </row>
    <row r="80" spans="1:9">
      <c r="A80" s="30" t="s">
        <v>79</v>
      </c>
      <c r="B80" s="21">
        <v>77</v>
      </c>
      <c r="C80" s="45" t="s">
        <v>87</v>
      </c>
      <c r="D80" s="24"/>
      <c r="E80" s="31">
        <v>150000</v>
      </c>
      <c r="F80" s="33">
        <v>100000</v>
      </c>
      <c r="G80" s="36"/>
      <c r="H80" s="53"/>
      <c r="I80" s="62">
        <f t="shared" si="1"/>
        <v>250000</v>
      </c>
    </row>
    <row r="81" spans="1:9">
      <c r="A81" s="20" t="s">
        <v>79</v>
      </c>
      <c r="B81" s="21">
        <v>78</v>
      </c>
      <c r="C81" s="45" t="s">
        <v>88</v>
      </c>
      <c r="D81" s="24"/>
      <c r="E81" s="31">
        <v>150000</v>
      </c>
      <c r="F81" s="33"/>
      <c r="G81" s="33"/>
      <c r="H81" s="71"/>
      <c r="I81" s="62">
        <f t="shared" si="1"/>
        <v>150000</v>
      </c>
    </row>
    <row r="82" spans="1:9">
      <c r="A82" s="21" t="s">
        <v>79</v>
      </c>
      <c r="B82" s="21">
        <v>79</v>
      </c>
      <c r="C82" s="72" t="s">
        <v>89</v>
      </c>
      <c r="D82" s="24"/>
      <c r="E82" s="31">
        <v>150000</v>
      </c>
      <c r="F82" s="73">
        <v>100000</v>
      </c>
      <c r="G82" s="33"/>
      <c r="H82" s="71"/>
      <c r="I82" s="62">
        <f t="shared" si="1"/>
        <v>250000</v>
      </c>
    </row>
    <row r="83" spans="1:9">
      <c r="A83" s="30" t="s">
        <v>79</v>
      </c>
      <c r="B83" s="21">
        <v>80</v>
      </c>
      <c r="C83" s="45" t="s">
        <v>90</v>
      </c>
      <c r="D83" s="24"/>
      <c r="E83" s="31">
        <v>150000</v>
      </c>
      <c r="F83" s="33">
        <v>500000</v>
      </c>
      <c r="G83" s="33"/>
      <c r="H83" s="71"/>
      <c r="I83" s="62">
        <f t="shared" si="1"/>
        <v>650000</v>
      </c>
    </row>
    <row r="84" spans="1:9">
      <c r="A84" s="30" t="s">
        <v>79</v>
      </c>
      <c r="B84" s="21">
        <v>81</v>
      </c>
      <c r="C84" s="45" t="s">
        <v>91</v>
      </c>
      <c r="D84" s="24"/>
      <c r="E84" s="31">
        <v>150000</v>
      </c>
      <c r="F84" s="33">
        <v>200000</v>
      </c>
      <c r="G84" s="33"/>
      <c r="H84" s="71"/>
      <c r="I84" s="62">
        <f t="shared" si="1"/>
        <v>350000</v>
      </c>
    </row>
    <row r="85" spans="1:9">
      <c r="A85" s="74" t="s">
        <v>79</v>
      </c>
      <c r="B85" s="21">
        <v>82</v>
      </c>
      <c r="C85" s="75" t="s">
        <v>92</v>
      </c>
      <c r="D85" s="68"/>
      <c r="E85" s="69">
        <v>150000</v>
      </c>
      <c r="F85" s="76"/>
      <c r="G85" s="76"/>
      <c r="H85" s="76"/>
      <c r="I85" s="87">
        <f t="shared" si="1"/>
        <v>150000</v>
      </c>
    </row>
    <row r="86" spans="1:9">
      <c r="A86" s="30" t="s">
        <v>79</v>
      </c>
      <c r="B86" s="21">
        <v>83</v>
      </c>
      <c r="C86" s="45" t="s">
        <v>93</v>
      </c>
      <c r="D86" s="24"/>
      <c r="E86" s="31">
        <v>150000</v>
      </c>
      <c r="F86" s="33"/>
      <c r="G86" s="33"/>
      <c r="H86" s="33"/>
      <c r="I86" s="62">
        <f t="shared" si="1"/>
        <v>150000</v>
      </c>
    </row>
    <row r="87" spans="1:9">
      <c r="A87" s="30" t="s">
        <v>79</v>
      </c>
      <c r="B87" s="21">
        <v>84</v>
      </c>
      <c r="C87" s="45" t="s">
        <v>94</v>
      </c>
      <c r="D87" s="24"/>
      <c r="E87" s="31">
        <v>150000</v>
      </c>
      <c r="F87" s="33">
        <v>150000</v>
      </c>
      <c r="G87" s="33"/>
      <c r="H87" s="77"/>
      <c r="I87" s="62">
        <f t="shared" si="1"/>
        <v>300000</v>
      </c>
    </row>
    <row r="88" spans="1:9">
      <c r="A88" s="30" t="s">
        <v>79</v>
      </c>
      <c r="B88" s="21">
        <v>85</v>
      </c>
      <c r="C88" s="35" t="s">
        <v>95</v>
      </c>
      <c r="D88" s="24"/>
      <c r="E88" s="31">
        <v>150000</v>
      </c>
      <c r="F88" s="33"/>
      <c r="G88" s="33"/>
      <c r="H88" s="33"/>
      <c r="I88" s="62">
        <f t="shared" si="1"/>
        <v>150000</v>
      </c>
    </row>
    <row r="89" spans="1:9">
      <c r="A89" s="30" t="s">
        <v>79</v>
      </c>
      <c r="B89" s="21">
        <v>86</v>
      </c>
      <c r="C89" s="78" t="s">
        <v>96</v>
      </c>
      <c r="D89" s="24"/>
      <c r="E89" s="31">
        <v>150000</v>
      </c>
      <c r="F89" s="40"/>
      <c r="G89" s="40"/>
      <c r="H89" s="79"/>
      <c r="I89" s="62">
        <f t="shared" si="1"/>
        <v>150000</v>
      </c>
    </row>
    <row r="90" spans="1:9">
      <c r="A90" s="30" t="s">
        <v>79</v>
      </c>
      <c r="B90" s="21">
        <v>87</v>
      </c>
      <c r="C90" s="45" t="s">
        <v>97</v>
      </c>
      <c r="D90" s="24"/>
      <c r="E90" s="31">
        <v>150000</v>
      </c>
      <c r="F90" s="33"/>
      <c r="G90" s="40"/>
      <c r="H90" s="79"/>
      <c r="I90" s="62">
        <f t="shared" si="1"/>
        <v>150000</v>
      </c>
    </row>
    <row r="91" spans="1:9">
      <c r="A91" s="30" t="s">
        <v>79</v>
      </c>
      <c r="B91" s="21">
        <v>88</v>
      </c>
      <c r="C91" s="45" t="s">
        <v>98</v>
      </c>
      <c r="D91" s="23"/>
      <c r="E91" s="31">
        <v>300000</v>
      </c>
      <c r="F91" s="33"/>
      <c r="G91" s="33"/>
      <c r="H91" s="33"/>
      <c r="I91" s="62">
        <f t="shared" si="1"/>
        <v>300000</v>
      </c>
    </row>
    <row r="92" spans="1:9">
      <c r="A92" s="80" t="s">
        <v>79</v>
      </c>
      <c r="B92" s="21">
        <v>89</v>
      </c>
      <c r="C92" s="22" t="s">
        <v>99</v>
      </c>
      <c r="D92" s="23"/>
      <c r="E92" s="31">
        <v>150000</v>
      </c>
      <c r="F92" s="33"/>
      <c r="G92" s="33"/>
      <c r="H92" s="33"/>
      <c r="I92" s="62">
        <f t="shared" si="1"/>
        <v>150000</v>
      </c>
    </row>
    <row r="93" spans="1:9">
      <c r="A93" s="30" t="s">
        <v>79</v>
      </c>
      <c r="B93" s="21">
        <v>90</v>
      </c>
      <c r="C93" s="22" t="s">
        <v>100</v>
      </c>
      <c r="D93" s="23"/>
      <c r="E93" s="31">
        <v>150000</v>
      </c>
      <c r="F93" s="33"/>
      <c r="G93" s="33"/>
      <c r="H93" s="33"/>
      <c r="I93" s="62">
        <f t="shared" si="1"/>
        <v>150000</v>
      </c>
    </row>
    <row r="94" spans="1:9">
      <c r="A94" s="80" t="s">
        <v>79</v>
      </c>
      <c r="B94" s="21">
        <v>91</v>
      </c>
      <c r="C94" s="22" t="s">
        <v>101</v>
      </c>
      <c r="D94" s="24"/>
      <c r="E94" s="31">
        <v>150000</v>
      </c>
      <c r="F94" s="33"/>
      <c r="G94" s="33"/>
      <c r="H94" s="33"/>
      <c r="I94" s="62">
        <f t="shared" si="1"/>
        <v>150000</v>
      </c>
    </row>
    <row r="95" spans="1:9">
      <c r="A95" s="30" t="s">
        <v>79</v>
      </c>
      <c r="B95" s="21">
        <v>92</v>
      </c>
      <c r="C95" s="22" t="s">
        <v>102</v>
      </c>
      <c r="D95" s="24"/>
      <c r="E95" s="31">
        <v>150000</v>
      </c>
      <c r="F95" s="33">
        <v>1000000</v>
      </c>
      <c r="G95" s="33"/>
      <c r="H95" s="33"/>
      <c r="I95" s="62">
        <f t="shared" si="1"/>
        <v>1150000</v>
      </c>
    </row>
    <row r="96" spans="1:9">
      <c r="A96" s="30" t="s">
        <v>79</v>
      </c>
      <c r="B96" s="21">
        <v>93</v>
      </c>
      <c r="C96" s="22" t="s">
        <v>103</v>
      </c>
      <c r="D96" s="24"/>
      <c r="E96" s="31">
        <v>150000</v>
      </c>
      <c r="F96" s="33"/>
      <c r="G96" s="33"/>
      <c r="H96" s="33"/>
      <c r="I96" s="62">
        <f t="shared" si="1"/>
        <v>150000</v>
      </c>
    </row>
    <row r="97" spans="1:9">
      <c r="A97" s="30" t="s">
        <v>79</v>
      </c>
      <c r="B97" s="21">
        <v>94</v>
      </c>
      <c r="C97" s="22" t="s">
        <v>104</v>
      </c>
      <c r="D97" s="24"/>
      <c r="E97" s="31">
        <v>150000</v>
      </c>
      <c r="F97" s="33"/>
      <c r="G97" s="33"/>
      <c r="H97" s="33"/>
      <c r="I97" s="62">
        <f t="shared" si="1"/>
        <v>150000</v>
      </c>
    </row>
    <row r="98" spans="1:9">
      <c r="A98" s="30" t="s">
        <v>79</v>
      </c>
      <c r="B98" s="21">
        <v>95</v>
      </c>
      <c r="C98" s="22" t="s">
        <v>105</v>
      </c>
      <c r="D98" s="24"/>
      <c r="E98" s="31">
        <v>150000</v>
      </c>
      <c r="F98" s="33"/>
      <c r="G98" s="33"/>
      <c r="H98" s="33"/>
      <c r="I98" s="62">
        <f t="shared" si="1"/>
        <v>150000</v>
      </c>
    </row>
    <row r="99" spans="1:9">
      <c r="A99" s="81" t="s">
        <v>106</v>
      </c>
      <c r="B99" s="21">
        <v>96</v>
      </c>
      <c r="C99" s="22" t="s">
        <v>107</v>
      </c>
      <c r="D99" s="24"/>
      <c r="E99" s="31">
        <v>100000</v>
      </c>
      <c r="F99" s="33"/>
      <c r="G99" s="33"/>
      <c r="H99" s="33"/>
      <c r="I99" s="62">
        <f t="shared" si="1"/>
        <v>100000</v>
      </c>
    </row>
    <row r="100" spans="1:9">
      <c r="A100" s="30" t="s">
        <v>106</v>
      </c>
      <c r="B100" s="21">
        <v>97</v>
      </c>
      <c r="C100" s="45" t="s">
        <v>108</v>
      </c>
      <c r="D100" s="24"/>
      <c r="E100" s="31">
        <v>100000</v>
      </c>
      <c r="F100" s="33">
        <v>100000</v>
      </c>
      <c r="G100" s="33"/>
      <c r="H100" s="82"/>
      <c r="I100" s="62">
        <f t="shared" si="1"/>
        <v>200000</v>
      </c>
    </row>
    <row r="101" spans="1:9">
      <c r="A101" s="30" t="s">
        <v>79</v>
      </c>
      <c r="B101" s="21">
        <v>98</v>
      </c>
      <c r="C101" s="45" t="s">
        <v>109</v>
      </c>
      <c r="D101" s="23"/>
      <c r="E101" s="31">
        <v>100000</v>
      </c>
      <c r="F101" s="33"/>
      <c r="G101" s="33"/>
      <c r="H101" s="33"/>
      <c r="I101" s="62">
        <f t="shared" si="1"/>
        <v>100000</v>
      </c>
    </row>
    <row r="102" spans="1:9">
      <c r="A102" s="30" t="s">
        <v>79</v>
      </c>
      <c r="B102" s="21">
        <v>99</v>
      </c>
      <c r="C102" s="43" t="s">
        <v>110</v>
      </c>
      <c r="D102" s="23"/>
      <c r="E102" s="31">
        <v>150000</v>
      </c>
      <c r="F102" s="33"/>
      <c r="G102" s="33"/>
      <c r="H102" s="33"/>
      <c r="I102" s="62">
        <f t="shared" si="1"/>
        <v>150000</v>
      </c>
    </row>
    <row r="103" spans="1:9">
      <c r="A103" s="30" t="s">
        <v>106</v>
      </c>
      <c r="B103" s="21">
        <v>100</v>
      </c>
      <c r="C103" s="22" t="s">
        <v>111</v>
      </c>
      <c r="D103" s="23"/>
      <c r="E103" s="31">
        <v>100000</v>
      </c>
      <c r="F103" s="33"/>
      <c r="G103" s="33"/>
      <c r="H103" s="33"/>
      <c r="I103" s="62">
        <f t="shared" si="1"/>
        <v>100000</v>
      </c>
    </row>
    <row r="104" spans="1:9">
      <c r="A104" s="30" t="s">
        <v>106</v>
      </c>
      <c r="B104" s="21">
        <v>101</v>
      </c>
      <c r="C104" s="43" t="s">
        <v>112</v>
      </c>
      <c r="D104" s="23"/>
      <c r="E104" s="31">
        <v>100000</v>
      </c>
      <c r="F104" s="33">
        <v>500000</v>
      </c>
      <c r="G104" s="33"/>
      <c r="H104" s="33"/>
      <c r="I104" s="62">
        <f t="shared" si="1"/>
        <v>600000</v>
      </c>
    </row>
    <row r="105" spans="1:9">
      <c r="A105" s="30" t="s">
        <v>106</v>
      </c>
      <c r="B105" s="21">
        <v>102</v>
      </c>
      <c r="C105" s="22" t="s">
        <v>113</v>
      </c>
      <c r="D105" s="23"/>
      <c r="E105" s="31">
        <v>100000</v>
      </c>
      <c r="F105" s="33"/>
      <c r="G105" s="33"/>
      <c r="H105" s="33"/>
      <c r="I105" s="62">
        <f t="shared" si="1"/>
        <v>100000</v>
      </c>
    </row>
    <row r="106" spans="1:9">
      <c r="A106" s="30" t="s">
        <v>114</v>
      </c>
      <c r="B106" s="21">
        <v>103</v>
      </c>
      <c r="C106" s="22" t="s">
        <v>115</v>
      </c>
      <c r="D106" s="23"/>
      <c r="E106" s="31">
        <v>100000</v>
      </c>
      <c r="F106" s="33"/>
      <c r="G106" s="33"/>
      <c r="H106" s="33"/>
      <c r="I106" s="62">
        <f t="shared" si="1"/>
        <v>100000</v>
      </c>
    </row>
    <row r="107" spans="1:9">
      <c r="A107" s="30" t="s">
        <v>114</v>
      </c>
      <c r="B107" s="21">
        <v>104</v>
      </c>
      <c r="C107" s="22" t="s">
        <v>116</v>
      </c>
      <c r="D107" s="23"/>
      <c r="E107" s="31">
        <v>100000</v>
      </c>
      <c r="F107" s="33"/>
      <c r="G107" s="33"/>
      <c r="H107" s="33"/>
      <c r="I107" s="62">
        <f t="shared" si="1"/>
        <v>100000</v>
      </c>
    </row>
    <row r="108" spans="1:9">
      <c r="A108" s="83" t="s">
        <v>114</v>
      </c>
      <c r="B108" s="21">
        <v>105</v>
      </c>
      <c r="C108" s="38" t="s">
        <v>117</v>
      </c>
      <c r="D108" s="23"/>
      <c r="E108" s="31">
        <v>100000</v>
      </c>
      <c r="F108" s="33"/>
      <c r="G108" s="33"/>
      <c r="H108" s="33"/>
      <c r="I108" s="62">
        <f t="shared" si="1"/>
        <v>100000</v>
      </c>
    </row>
    <row r="109" spans="1:9">
      <c r="A109" s="83" t="s">
        <v>118</v>
      </c>
      <c r="B109" s="21">
        <v>106</v>
      </c>
      <c r="C109" s="38" t="s">
        <v>119</v>
      </c>
      <c r="D109" s="39"/>
      <c r="E109" s="31">
        <v>100000</v>
      </c>
      <c r="F109" s="40"/>
      <c r="G109" s="40"/>
      <c r="H109" s="40"/>
      <c r="I109" s="88">
        <f t="shared" si="1"/>
        <v>100000</v>
      </c>
    </row>
    <row r="110" spans="1:9">
      <c r="A110" s="21" t="s">
        <v>79</v>
      </c>
      <c r="B110" s="21">
        <v>107</v>
      </c>
      <c r="C110" s="22" t="s">
        <v>120</v>
      </c>
      <c r="D110" s="39"/>
      <c r="E110" s="31">
        <v>150000</v>
      </c>
      <c r="F110" s="33"/>
      <c r="G110" s="33"/>
      <c r="H110" s="33"/>
      <c r="I110" s="62">
        <f t="shared" si="1"/>
        <v>150000</v>
      </c>
    </row>
    <row r="111" spans="1:9">
      <c r="A111" s="21" t="s">
        <v>79</v>
      </c>
      <c r="B111" s="21">
        <v>108</v>
      </c>
      <c r="C111" s="22" t="s">
        <v>121</v>
      </c>
      <c r="D111" s="39"/>
      <c r="E111" s="31">
        <v>150000</v>
      </c>
      <c r="F111" s="33"/>
      <c r="G111" s="33"/>
      <c r="H111" s="33"/>
      <c r="I111" s="62">
        <f t="shared" si="1"/>
        <v>150000</v>
      </c>
    </row>
    <row r="112" spans="1:9">
      <c r="A112" s="21" t="s">
        <v>79</v>
      </c>
      <c r="B112" s="21">
        <v>109</v>
      </c>
      <c r="C112" s="22" t="s">
        <v>122</v>
      </c>
      <c r="D112" s="23"/>
      <c r="E112" s="31">
        <v>150000</v>
      </c>
      <c r="F112" s="33"/>
      <c r="G112" s="33"/>
      <c r="H112" s="33"/>
      <c r="I112" s="62">
        <f t="shared" si="1"/>
        <v>150000</v>
      </c>
    </row>
    <row r="113" ht="15.15" spans="1:9">
      <c r="A113" s="84" t="s">
        <v>106</v>
      </c>
      <c r="B113" s="21">
        <v>110</v>
      </c>
      <c r="C113" s="85" t="s">
        <v>123</v>
      </c>
      <c r="D113" s="23"/>
      <c r="E113" s="31">
        <v>100000</v>
      </c>
      <c r="F113" s="33"/>
      <c r="G113" s="33"/>
      <c r="H113" s="33"/>
      <c r="I113" s="62">
        <f t="shared" si="1"/>
        <v>100000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2025-06-18T01:45:00Z</dcterms:created>
  <dcterms:modified xsi:type="dcterms:W3CDTF">2025-06-25T13:25:42Z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3EAA6A79EB524C1EA313EB6962330D0B_11</vt:lpwstr>
  </property>
  <property fmtid="{D5CDD505-2E9C-101B-9397-08002B2CF9AE}" pid="3" name="KSOProductBuildVer">
    <vt:lpwstr>1033-12.2.0.21546</vt:lpwstr>
  </property>
</Properties>
</file>